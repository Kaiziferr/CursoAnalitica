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_Entrar\IngenieriaSistemas\Analitica\"/>
    </mc:Choice>
  </mc:AlternateContent>
  <xr:revisionPtr revIDLastSave="0" documentId="13_ncr:1_{F9B60683-10C2-4252-8AC3-698D5B4E71F7}" xr6:coauthVersionLast="45" xr6:coauthVersionMax="45" xr10:uidLastSave="{00000000-0000-0000-0000-000000000000}"/>
  <bookViews>
    <workbookView xWindow="-120" yWindow="-120" windowWidth="20640" windowHeight="11160" activeTab="1" xr2:uid="{8B0B5945-A3FB-49F1-9204-D883FAACE64B}"/>
  </bookViews>
  <sheets>
    <sheet name="Taller Calculos de Metricas2" sheetId="1" r:id="rId1"/>
    <sheet name="Hoja1" sheetId="3" r:id="rId2"/>
    <sheet name="Hoja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4" l="1"/>
  <c r="E18" i="4"/>
  <c r="F18" i="4"/>
  <c r="C18" i="4"/>
  <c r="F17" i="4"/>
  <c r="E17" i="4"/>
  <c r="D17" i="4"/>
  <c r="C17" i="4"/>
  <c r="E16" i="4"/>
  <c r="D16" i="4"/>
  <c r="C16" i="4"/>
  <c r="F16" i="4"/>
  <c r="F15" i="4"/>
  <c r="E15" i="4"/>
  <c r="D15" i="4"/>
  <c r="C15" i="4"/>
  <c r="F10" i="4"/>
  <c r="E10" i="4"/>
  <c r="D10" i="4"/>
  <c r="C10" i="4"/>
  <c r="G9" i="4"/>
  <c r="G8" i="4"/>
  <c r="G7" i="4"/>
  <c r="G6" i="4"/>
  <c r="G10" i="4" s="1"/>
  <c r="C35" i="3"/>
  <c r="C34" i="3"/>
  <c r="C32" i="3"/>
  <c r="C33" i="3"/>
  <c r="D29" i="3"/>
  <c r="E29" i="3"/>
  <c r="F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I20" i="3"/>
  <c r="H20" i="3"/>
  <c r="I19" i="3"/>
  <c r="H19" i="3"/>
  <c r="J20" i="3"/>
  <c r="I21" i="3"/>
  <c r="H21" i="3"/>
  <c r="I14" i="3"/>
  <c r="H14" i="3"/>
  <c r="J19" i="3" l="1"/>
  <c r="J21" i="3" s="1"/>
  <c r="I13" i="3"/>
  <c r="I15" i="3" s="1"/>
  <c r="H13" i="3"/>
  <c r="J13" i="3"/>
  <c r="J14" i="3"/>
  <c r="H15" i="3"/>
  <c r="D20" i="3"/>
  <c r="C20" i="3"/>
  <c r="D19" i="3"/>
  <c r="C19" i="3"/>
  <c r="E20" i="3"/>
  <c r="D21" i="3"/>
  <c r="C21" i="3"/>
  <c r="D15" i="3"/>
  <c r="E15" i="3"/>
  <c r="C15" i="3"/>
  <c r="E14" i="3"/>
  <c r="D14" i="3"/>
  <c r="C14" i="3"/>
  <c r="E13" i="3"/>
  <c r="D13" i="3"/>
  <c r="C13" i="3"/>
  <c r="F9" i="3"/>
  <c r="E9" i="3"/>
  <c r="D9" i="3"/>
  <c r="C9" i="3"/>
  <c r="G8" i="3"/>
  <c r="G7" i="3"/>
  <c r="G6" i="3"/>
  <c r="G5" i="3"/>
  <c r="G9" i="3" s="1"/>
  <c r="J15" i="3" l="1"/>
  <c r="E19" i="3"/>
  <c r="E21" i="3" s="1"/>
  <c r="C32" i="1"/>
  <c r="C30" i="1"/>
  <c r="C29" i="1"/>
  <c r="C28" i="1"/>
  <c r="R24" i="1" l="1"/>
  <c r="R22" i="1"/>
  <c r="S17" i="1"/>
  <c r="T17" i="1"/>
  <c r="N17" i="1"/>
  <c r="I17" i="1"/>
  <c r="D17" i="1"/>
  <c r="C23" i="1" s="1"/>
  <c r="M23" i="1"/>
  <c r="R17" i="1"/>
  <c r="S16" i="1"/>
  <c r="R16" i="1"/>
  <c r="M17" i="1"/>
  <c r="N16" i="1"/>
  <c r="M16" i="1"/>
  <c r="M22" i="1"/>
  <c r="I16" i="1"/>
  <c r="H16" i="1"/>
  <c r="D18" i="1"/>
  <c r="C17" i="1"/>
  <c r="D16" i="1"/>
  <c r="C16" i="1"/>
  <c r="H22" i="1"/>
  <c r="H21" i="1"/>
  <c r="C21" i="1"/>
  <c r="H23" i="1"/>
  <c r="C22" i="1"/>
  <c r="V22" i="1" l="1"/>
  <c r="H24" i="1" l="1"/>
  <c r="C24" i="1"/>
  <c r="R23" i="1"/>
  <c r="V23" i="1" s="1"/>
  <c r="R21" i="1"/>
  <c r="M21" i="1"/>
  <c r="S18" i="1"/>
  <c r="R18" i="1"/>
  <c r="T16" i="1"/>
  <c r="O17" i="1"/>
  <c r="N18" i="1"/>
  <c r="M18" i="1"/>
  <c r="O16" i="1"/>
  <c r="I18" i="1"/>
  <c r="H18" i="1"/>
  <c r="J17" i="1"/>
  <c r="J16" i="1"/>
  <c r="E17" i="1"/>
  <c r="E16" i="1"/>
  <c r="C18" i="1"/>
  <c r="G10" i="1"/>
  <c r="D10" i="1"/>
  <c r="E10" i="1"/>
  <c r="F10" i="1"/>
  <c r="C10" i="1"/>
  <c r="G7" i="1"/>
  <c r="G8" i="1"/>
  <c r="G9" i="1"/>
  <c r="G6" i="1"/>
  <c r="V21" i="1" l="1"/>
  <c r="M24" i="1"/>
  <c r="V24" i="1" s="1"/>
  <c r="O18" i="1"/>
  <c r="E18" i="1"/>
  <c r="J18" i="1"/>
  <c r="T18" i="1"/>
</calcChain>
</file>

<file path=xl/sharedStrings.xml><?xml version="1.0" encoding="utf-8"?>
<sst xmlns="http://schemas.openxmlformats.org/spreadsheetml/2006/main" count="110" uniqueCount="25">
  <si>
    <t>Esporádico</t>
  </si>
  <si>
    <t>Fiel</t>
  </si>
  <si>
    <t>Parcial</t>
  </si>
  <si>
    <t>Promocional</t>
  </si>
  <si>
    <t>Total</t>
  </si>
  <si>
    <t>Precision</t>
  </si>
  <si>
    <t>No Esporadico</t>
  </si>
  <si>
    <t>No Fiel</t>
  </si>
  <si>
    <t>No Parcial</t>
  </si>
  <si>
    <t>No Promocional</t>
  </si>
  <si>
    <t>Recall</t>
  </si>
  <si>
    <t>especificidad,</t>
  </si>
  <si>
    <t xml:space="preserve"> F-Measure</t>
  </si>
  <si>
    <t>Error</t>
  </si>
  <si>
    <t>Accuracy(OA)</t>
  </si>
  <si>
    <t>AC</t>
  </si>
  <si>
    <t>KAPPA-Global</t>
  </si>
  <si>
    <t>Esporadico</t>
  </si>
  <si>
    <t>No esporadico</t>
  </si>
  <si>
    <t>Predicción</t>
  </si>
  <si>
    <t>Real</t>
  </si>
  <si>
    <t>Especificidad</t>
  </si>
  <si>
    <t>F-Measure</t>
  </si>
  <si>
    <t>Kappa Global</t>
  </si>
  <si>
    <t>(AC)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</si>
</sst>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0" fillId="0" borderId="1" xfId="0" applyFill="1" applyBorder="1"/>
    <xf numFmtId="164" fontId="0" fillId="0" borderId="0" xfId="1" applyNumberFormat="1" applyFont="1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362B-65F4-4293-B6F5-398ADE0B7AA4}">
  <dimension ref="B5:V32"/>
  <sheetViews>
    <sheetView topLeftCell="A11" zoomScale="90" zoomScaleNormal="90" workbookViewId="0">
      <selection activeCell="G33" sqref="G33"/>
    </sheetView>
  </sheetViews>
  <sheetFormatPr baseColWidth="10" defaultRowHeight="15" x14ac:dyDescent="0.25"/>
  <cols>
    <col min="2" max="2" width="15.5703125" customWidth="1"/>
    <col min="4" max="4" width="13.28515625" customWidth="1"/>
    <col min="6" max="6" width="12.85546875" customWidth="1"/>
    <col min="17" max="17" width="15.85546875" customWidth="1"/>
    <col min="19" max="19" width="14.28515625" customWidth="1"/>
  </cols>
  <sheetData>
    <row r="5" spans="2:20" x14ac:dyDescent="0.25">
      <c r="B5" s="1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</row>
    <row r="6" spans="2:20" x14ac:dyDescent="0.25">
      <c r="B6" s="2" t="s">
        <v>0</v>
      </c>
      <c r="C6" s="2">
        <v>61</v>
      </c>
      <c r="D6" s="2">
        <v>8</v>
      </c>
      <c r="E6" s="2">
        <v>1</v>
      </c>
      <c r="F6" s="2">
        <v>0</v>
      </c>
      <c r="G6" s="2">
        <f>SUM(C6:F6)</f>
        <v>70</v>
      </c>
    </row>
    <row r="7" spans="2:20" x14ac:dyDescent="0.25">
      <c r="B7" s="2" t="s">
        <v>1</v>
      </c>
      <c r="C7" s="2">
        <v>0</v>
      </c>
      <c r="D7" s="2">
        <v>56</v>
      </c>
      <c r="E7" s="2">
        <v>17</v>
      </c>
      <c r="F7" s="2">
        <v>0</v>
      </c>
      <c r="G7" s="2">
        <f t="shared" ref="G7:G9" si="0">SUM(C7:F7)</f>
        <v>73</v>
      </c>
    </row>
    <row r="8" spans="2:20" x14ac:dyDescent="0.25">
      <c r="B8" s="2" t="s">
        <v>2</v>
      </c>
      <c r="C8" s="2">
        <v>0</v>
      </c>
      <c r="D8" s="2">
        <v>0</v>
      </c>
      <c r="E8" s="2">
        <v>15</v>
      </c>
      <c r="F8" s="2">
        <v>0</v>
      </c>
      <c r="G8" s="2">
        <f t="shared" si="0"/>
        <v>15</v>
      </c>
    </row>
    <row r="9" spans="2:20" x14ac:dyDescent="0.25">
      <c r="B9" s="2" t="s">
        <v>3</v>
      </c>
      <c r="C9" s="2">
        <v>0</v>
      </c>
      <c r="D9" s="2">
        <v>0</v>
      </c>
      <c r="E9" s="2">
        <v>0</v>
      </c>
      <c r="F9" s="2">
        <v>24</v>
      </c>
      <c r="G9" s="2">
        <f t="shared" si="0"/>
        <v>24</v>
      </c>
    </row>
    <row r="10" spans="2:20" x14ac:dyDescent="0.25">
      <c r="B10" s="2" t="s">
        <v>4</v>
      </c>
      <c r="C10" s="2">
        <f>SUM(C6:C9)</f>
        <v>61</v>
      </c>
      <c r="D10" s="2">
        <f t="shared" ref="D10:G10" si="1">SUM(D6:D9)</f>
        <v>64</v>
      </c>
      <c r="E10" s="2">
        <f t="shared" si="1"/>
        <v>33</v>
      </c>
      <c r="F10" s="2">
        <f t="shared" si="1"/>
        <v>24</v>
      </c>
      <c r="G10" s="2">
        <f t="shared" si="1"/>
        <v>182</v>
      </c>
    </row>
    <row r="15" spans="2:20" x14ac:dyDescent="0.25">
      <c r="C15" t="s">
        <v>0</v>
      </c>
      <c r="D15" t="s">
        <v>6</v>
      </c>
      <c r="E15" t="s">
        <v>4</v>
      </c>
      <c r="H15" s="1" t="s">
        <v>1</v>
      </c>
      <c r="I15" s="1" t="s">
        <v>7</v>
      </c>
      <c r="J15" t="s">
        <v>4</v>
      </c>
      <c r="M15" s="1" t="s">
        <v>2</v>
      </c>
      <c r="N15" s="1" t="s">
        <v>8</v>
      </c>
      <c r="O15" t="s">
        <v>4</v>
      </c>
      <c r="R15" s="1" t="s">
        <v>3</v>
      </c>
      <c r="S15" s="1" t="s">
        <v>9</v>
      </c>
      <c r="T15" t="s">
        <v>4</v>
      </c>
    </row>
    <row r="16" spans="2:20" x14ac:dyDescent="0.25">
      <c r="B16" t="s">
        <v>0</v>
      </c>
      <c r="C16">
        <f>C6</f>
        <v>61</v>
      </c>
      <c r="D16">
        <f>SUM(D6:F6)</f>
        <v>9</v>
      </c>
      <c r="E16">
        <f>SUM(C16:D16)</f>
        <v>70</v>
      </c>
      <c r="G16" s="1" t="s">
        <v>1</v>
      </c>
      <c r="H16">
        <f>D7</f>
        <v>56</v>
      </c>
      <c r="I16">
        <f>SUM(E7:F7,C7)</f>
        <v>17</v>
      </c>
      <c r="J16">
        <f>SUM(H16:I16)</f>
        <v>73</v>
      </c>
      <c r="L16" s="1" t="s">
        <v>2</v>
      </c>
      <c r="M16">
        <f>E8</f>
        <v>15</v>
      </c>
      <c r="N16">
        <f>F8+D8+C8</f>
        <v>0</v>
      </c>
      <c r="O16">
        <f>SUM(M16:N16)</f>
        <v>15</v>
      </c>
      <c r="Q16" s="1" t="s">
        <v>3</v>
      </c>
      <c r="R16">
        <f>F9</f>
        <v>24</v>
      </c>
      <c r="S16">
        <f>SUM(C9:E9)</f>
        <v>0</v>
      </c>
      <c r="T16">
        <f>SUM(R16:S16)</f>
        <v>24</v>
      </c>
    </row>
    <row r="17" spans="2:22" x14ac:dyDescent="0.25">
      <c r="B17" t="s">
        <v>6</v>
      </c>
      <c r="C17">
        <f>SUM(C7:C9)</f>
        <v>0</v>
      </c>
      <c r="D17">
        <f>SUM(D7:F9)</f>
        <v>112</v>
      </c>
      <c r="E17">
        <f>SUM(C17:D17)</f>
        <v>112</v>
      </c>
      <c r="G17" s="1" t="s">
        <v>7</v>
      </c>
      <c r="H17">
        <v>8</v>
      </c>
      <c r="I17">
        <f>SUM(C6,C8,C9,E6,F6,E8,F8,E9,F9)</f>
        <v>101</v>
      </c>
      <c r="J17">
        <f>SUM(H17:I17)</f>
        <v>109</v>
      </c>
      <c r="L17" s="1" t="s">
        <v>8</v>
      </c>
      <c r="M17">
        <f>SUM(E7,E6,E9)</f>
        <v>18</v>
      </c>
      <c r="N17">
        <f>SUM(F7,F6,D6,C6,C7,D7,C9,D9,F9)</f>
        <v>149</v>
      </c>
      <c r="O17">
        <f>SUM(M17:N17)</f>
        <v>167</v>
      </c>
      <c r="Q17" s="1" t="s">
        <v>9</v>
      </c>
      <c r="R17">
        <f>SUM(F6:F8)</f>
        <v>0</v>
      </c>
      <c r="S17">
        <f>SUM(C6:E8)</f>
        <v>158</v>
      </c>
      <c r="T17">
        <f>SUM(R17:S17)</f>
        <v>158</v>
      </c>
    </row>
    <row r="18" spans="2:22" x14ac:dyDescent="0.25">
      <c r="B18" t="s">
        <v>4</v>
      </c>
      <c r="C18">
        <f>SUM(C16:C17)</f>
        <v>61</v>
      </c>
      <c r="D18">
        <f>SUM(D16:D17)</f>
        <v>121</v>
      </c>
      <c r="E18">
        <f>SUM(C18:D18)</f>
        <v>182</v>
      </c>
      <c r="G18" t="s">
        <v>4</v>
      </c>
      <c r="H18">
        <f>SUM(H16:H17)</f>
        <v>64</v>
      </c>
      <c r="I18">
        <f>SUM(I16:I17)</f>
        <v>118</v>
      </c>
      <c r="J18" s="1">
        <f>SUM(J16:J17)</f>
        <v>182</v>
      </c>
      <c r="L18" t="s">
        <v>4</v>
      </c>
      <c r="M18">
        <f>SUM(M16:M17)</f>
        <v>33</v>
      </c>
      <c r="N18">
        <f>SUM(N16:N17)</f>
        <v>149</v>
      </c>
      <c r="O18">
        <f>SUM(O16:O17)</f>
        <v>182</v>
      </c>
      <c r="Q18" t="s">
        <v>4</v>
      </c>
      <c r="R18">
        <f>SUM(R16:R17)</f>
        <v>24</v>
      </c>
      <c r="S18">
        <f>SUM(S16:S17)</f>
        <v>158</v>
      </c>
      <c r="T18">
        <f>SUM(T16:T17)</f>
        <v>182</v>
      </c>
    </row>
    <row r="21" spans="2:22" x14ac:dyDescent="0.25">
      <c r="B21" t="s">
        <v>5</v>
      </c>
      <c r="C21" s="3">
        <f>C16/(C16+C17)</f>
        <v>1</v>
      </c>
      <c r="H21" s="4">
        <f>H16/(H16+H17)</f>
        <v>0.875</v>
      </c>
      <c r="M21">
        <f>M16/(M16+M17)</f>
        <v>0.45454545454545453</v>
      </c>
      <c r="R21">
        <f>R16/(R16+R17)</f>
        <v>1</v>
      </c>
      <c r="V21">
        <f>SUM(R21+H21+C21+M21)</f>
        <v>3.3295454545454546</v>
      </c>
    </row>
    <row r="22" spans="2:22" x14ac:dyDescent="0.25">
      <c r="B22" t="s">
        <v>10</v>
      </c>
      <c r="C22" s="3">
        <f>C16/(C16+D16)</f>
        <v>0.87142857142857144</v>
      </c>
      <c r="H22" s="4">
        <f>H16/(H16+I16)</f>
        <v>0.76712328767123283</v>
      </c>
      <c r="M22">
        <f>M16/(M16+N16)</f>
        <v>1</v>
      </c>
      <c r="R22">
        <f>R16/(R16+S16)</f>
        <v>1</v>
      </c>
      <c r="V22">
        <f t="shared" ref="V22:V24" si="2">SUM(R22+H22+C22+M22)</f>
        <v>3.6385518590998043</v>
      </c>
    </row>
    <row r="23" spans="2:22" x14ac:dyDescent="0.25">
      <c r="B23" t="s">
        <v>11</v>
      </c>
      <c r="C23" s="3">
        <f>D17/(D17+C17)</f>
        <v>1</v>
      </c>
      <c r="H23" s="4">
        <f>I17/(I17+H17)</f>
        <v>0.92660550458715596</v>
      </c>
      <c r="M23">
        <f>N17/(N17+M17)</f>
        <v>0.89221556886227549</v>
      </c>
      <c r="R23">
        <f>S17/(S17+S16)</f>
        <v>1</v>
      </c>
      <c r="V23">
        <f t="shared" si="2"/>
        <v>3.8188210734494312</v>
      </c>
    </row>
    <row r="24" spans="2:22" x14ac:dyDescent="0.25">
      <c r="B24" t="s">
        <v>12</v>
      </c>
      <c r="C24" s="3">
        <f>(2*(C21*C22))/(C21+C22)</f>
        <v>0.93129770992366412</v>
      </c>
      <c r="H24" s="4">
        <f>(2*(H21*H22))/(H21+H22)</f>
        <v>0.81751824817518248</v>
      </c>
      <c r="M24">
        <f>(2*(M21*M22))/(M21+M22)</f>
        <v>0.625</v>
      </c>
      <c r="R24">
        <f>(2*(R21*R22))/(R21+R22)</f>
        <v>1</v>
      </c>
      <c r="V24">
        <f t="shared" si="2"/>
        <v>3.3738159580988465</v>
      </c>
    </row>
    <row r="28" spans="2:22" x14ac:dyDescent="0.25">
      <c r="B28" t="s">
        <v>14</v>
      </c>
      <c r="C28">
        <f>(C6+D7+E8+F9)/G10</f>
        <v>0.8571428571428571</v>
      </c>
    </row>
    <row r="29" spans="2:22" x14ac:dyDescent="0.25">
      <c r="B29" t="s">
        <v>13</v>
      </c>
      <c r="C29">
        <f>1-C28</f>
        <v>0.1428571428571429</v>
      </c>
    </row>
    <row r="30" spans="2:22" x14ac:dyDescent="0.25">
      <c r="B30" t="s">
        <v>15</v>
      </c>
      <c r="C30">
        <f>(C10/G10*G6/G10)+(D10/G10*G7/G10)+(E10/G10*G8/G10)+(F10/G10*G9/G10)</f>
        <v>0.30228837096968963</v>
      </c>
    </row>
    <row r="32" spans="2:22" x14ac:dyDescent="0.25">
      <c r="B32" t="s">
        <v>16</v>
      </c>
      <c r="C32">
        <f>(C28-C30)/(1-C30)</f>
        <v>0.7952490156202674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AF0D-55B1-4F02-A8C4-84E81C8D3515}">
  <dimension ref="B3:J35"/>
  <sheetViews>
    <sheetView tabSelected="1" topLeftCell="A15" workbookViewId="0">
      <selection activeCell="G34" sqref="G34"/>
    </sheetView>
  </sheetViews>
  <sheetFormatPr baseColWidth="10" defaultRowHeight="15" x14ac:dyDescent="0.25"/>
  <cols>
    <col min="2" max="2" width="15.5703125" customWidth="1"/>
    <col min="3" max="3" width="14.140625" customWidth="1"/>
    <col min="4" max="4" width="13.7109375" customWidth="1"/>
    <col min="7" max="7" width="15.85546875" customWidth="1"/>
  </cols>
  <sheetData>
    <row r="3" spans="2:10" x14ac:dyDescent="0.25">
      <c r="C3" s="9" t="s">
        <v>19</v>
      </c>
      <c r="D3" s="9"/>
      <c r="E3" s="9"/>
      <c r="F3" s="9"/>
      <c r="G3" s="9"/>
    </row>
    <row r="4" spans="2:10" x14ac:dyDescent="0.25">
      <c r="B4" s="7" t="s">
        <v>20</v>
      </c>
      <c r="C4" s="6" t="s">
        <v>0</v>
      </c>
      <c r="D4" s="5" t="s">
        <v>1</v>
      </c>
      <c r="E4" s="5" t="s">
        <v>2</v>
      </c>
      <c r="F4" s="5" t="s">
        <v>3</v>
      </c>
      <c r="G4" s="5" t="s">
        <v>4</v>
      </c>
    </row>
    <row r="5" spans="2:10" x14ac:dyDescent="0.25">
      <c r="B5" s="5" t="s">
        <v>0</v>
      </c>
      <c r="C5" s="2">
        <v>61</v>
      </c>
      <c r="D5" s="2">
        <v>8</v>
      </c>
      <c r="E5" s="2">
        <v>1</v>
      </c>
      <c r="F5" s="2">
        <v>0</v>
      </c>
      <c r="G5" s="2">
        <f>SUM(C5:F5)</f>
        <v>70</v>
      </c>
    </row>
    <row r="6" spans="2:10" x14ac:dyDescent="0.25">
      <c r="B6" s="5" t="s">
        <v>1</v>
      </c>
      <c r="C6" s="2">
        <v>0</v>
      </c>
      <c r="D6" s="2">
        <v>56</v>
      </c>
      <c r="E6" s="2">
        <v>17</v>
      </c>
      <c r="F6" s="2">
        <v>0</v>
      </c>
      <c r="G6" s="2">
        <f t="shared" ref="G6:G8" si="0">SUM(C6:F6)</f>
        <v>73</v>
      </c>
    </row>
    <row r="7" spans="2:10" x14ac:dyDescent="0.25">
      <c r="B7" s="5" t="s">
        <v>2</v>
      </c>
      <c r="C7" s="2">
        <v>0</v>
      </c>
      <c r="D7" s="2">
        <v>0</v>
      </c>
      <c r="E7" s="2">
        <v>15</v>
      </c>
      <c r="F7" s="2">
        <v>0</v>
      </c>
      <c r="G7" s="2">
        <f t="shared" si="0"/>
        <v>15</v>
      </c>
    </row>
    <row r="8" spans="2:10" x14ac:dyDescent="0.25">
      <c r="B8" s="5" t="s">
        <v>3</v>
      </c>
      <c r="C8" s="2">
        <v>0</v>
      </c>
      <c r="D8" s="2">
        <v>0</v>
      </c>
      <c r="E8" s="2">
        <v>0</v>
      </c>
      <c r="F8" s="2">
        <v>24</v>
      </c>
      <c r="G8" s="2">
        <f t="shared" si="0"/>
        <v>24</v>
      </c>
    </row>
    <row r="9" spans="2:10" x14ac:dyDescent="0.25">
      <c r="B9" s="5" t="s">
        <v>4</v>
      </c>
      <c r="C9" s="2">
        <f>SUM(C5:C8)</f>
        <v>61</v>
      </c>
      <c r="D9" s="2">
        <f t="shared" ref="D9:G9" si="1">SUM(D5:D8)</f>
        <v>64</v>
      </c>
      <c r="E9" s="2">
        <f t="shared" si="1"/>
        <v>33</v>
      </c>
      <c r="F9" s="2">
        <f t="shared" si="1"/>
        <v>24</v>
      </c>
      <c r="G9" s="2">
        <f t="shared" si="1"/>
        <v>182</v>
      </c>
    </row>
    <row r="12" spans="2:10" x14ac:dyDescent="0.25">
      <c r="C12" s="8" t="s">
        <v>0</v>
      </c>
      <c r="D12" s="8" t="s">
        <v>18</v>
      </c>
      <c r="E12" s="8" t="s">
        <v>4</v>
      </c>
      <c r="H12" s="8" t="s">
        <v>2</v>
      </c>
      <c r="I12" s="8" t="s">
        <v>8</v>
      </c>
      <c r="J12" s="8" t="s">
        <v>4</v>
      </c>
    </row>
    <row r="13" spans="2:10" x14ac:dyDescent="0.25">
      <c r="B13" s="8" t="s">
        <v>17</v>
      </c>
      <c r="C13">
        <f>C5</f>
        <v>61</v>
      </c>
      <c r="D13">
        <f>SUM(D5:F5)</f>
        <v>9</v>
      </c>
      <c r="E13">
        <f>SUM(C13:D13)</f>
        <v>70</v>
      </c>
      <c r="G13" s="8" t="s">
        <v>2</v>
      </c>
      <c r="H13">
        <f>E7</f>
        <v>15</v>
      </c>
      <c r="I13">
        <f>SUM(F7,D7,C7)</f>
        <v>0</v>
      </c>
      <c r="J13">
        <f>SUM(H13:I13)</f>
        <v>15</v>
      </c>
    </row>
    <row r="14" spans="2:10" x14ac:dyDescent="0.25">
      <c r="B14" s="8" t="s">
        <v>18</v>
      </c>
      <c r="C14">
        <f>SUM(C6:C8)</f>
        <v>0</v>
      </c>
      <c r="D14">
        <f>SUM(D6:F8)</f>
        <v>112</v>
      </c>
      <c r="E14">
        <f>SUM(C14:D14)</f>
        <v>112</v>
      </c>
      <c r="G14" s="8" t="s">
        <v>8</v>
      </c>
      <c r="H14">
        <f>SUM(E5:E6,E8)</f>
        <v>18</v>
      </c>
      <c r="I14">
        <f>SUM(C5:D5,C6:D6,C8:D8,F8,F5:F6)</f>
        <v>149</v>
      </c>
      <c r="J14">
        <f>SUM(H14:I14)</f>
        <v>167</v>
      </c>
    </row>
    <row r="15" spans="2:10" x14ac:dyDescent="0.25">
      <c r="B15" s="8" t="s">
        <v>4</v>
      </c>
      <c r="C15">
        <f>SUM(C13:C14)</f>
        <v>61</v>
      </c>
      <c r="D15">
        <f t="shared" ref="D15:E15" si="2">SUM(D13:D14)</f>
        <v>121</v>
      </c>
      <c r="E15">
        <f t="shared" si="2"/>
        <v>182</v>
      </c>
      <c r="G15" s="8" t="s">
        <v>4</v>
      </c>
      <c r="H15">
        <f>SUM(H13:H14)</f>
        <v>33</v>
      </c>
      <c r="I15">
        <f t="shared" ref="I15" si="3">SUM(I13:I14)</f>
        <v>149</v>
      </c>
      <c r="J15">
        <f t="shared" ref="J15" si="4">SUM(J13:J14)</f>
        <v>182</v>
      </c>
    </row>
    <row r="18" spans="2:10" x14ac:dyDescent="0.25">
      <c r="C18" s="8" t="s">
        <v>1</v>
      </c>
      <c r="D18" s="8" t="s">
        <v>7</v>
      </c>
      <c r="E18" s="8" t="s">
        <v>4</v>
      </c>
      <c r="H18" s="8" t="s">
        <v>3</v>
      </c>
      <c r="I18" s="8" t="s">
        <v>9</v>
      </c>
      <c r="J18" s="8" t="s">
        <v>4</v>
      </c>
    </row>
    <row r="19" spans="2:10" x14ac:dyDescent="0.25">
      <c r="B19" s="8" t="s">
        <v>1</v>
      </c>
      <c r="C19">
        <f>D6</f>
        <v>56</v>
      </c>
      <c r="D19">
        <f>SUM(E6,F6,C6)</f>
        <v>17</v>
      </c>
      <c r="E19">
        <f>SUM(C19:D19)</f>
        <v>73</v>
      </c>
      <c r="G19" s="8" t="s">
        <v>3</v>
      </c>
      <c r="H19">
        <f>F8</f>
        <v>24</v>
      </c>
      <c r="I19">
        <f>SUM(C8:E8)</f>
        <v>0</v>
      </c>
      <c r="J19">
        <f>SUM(H19:I19)</f>
        <v>24</v>
      </c>
    </row>
    <row r="20" spans="2:10" x14ac:dyDescent="0.25">
      <c r="B20" s="8" t="s">
        <v>7</v>
      </c>
      <c r="C20">
        <f>SUM(D5,D7,D8)</f>
        <v>8</v>
      </c>
      <c r="D20">
        <f>SUM(C5,E5,F5,C7,E7,F7,C8,E8,F8)</f>
        <v>101</v>
      </c>
      <c r="E20">
        <f>SUM(C20:D20)</f>
        <v>109</v>
      </c>
      <c r="G20" s="8" t="s">
        <v>9</v>
      </c>
      <c r="H20">
        <f>SUM(F5:F7)</f>
        <v>0</v>
      </c>
      <c r="I20">
        <f>SUM(C5:E7)</f>
        <v>158</v>
      </c>
      <c r="J20">
        <f>SUM(H20:I20)</f>
        <v>158</v>
      </c>
    </row>
    <row r="21" spans="2:10" x14ac:dyDescent="0.25">
      <c r="B21" s="8" t="s">
        <v>4</v>
      </c>
      <c r="C21">
        <f>SUM(C19:C20)</f>
        <v>64</v>
      </c>
      <c r="D21">
        <f t="shared" ref="D21" si="5">SUM(D19:D20)</f>
        <v>118</v>
      </c>
      <c r="E21">
        <f t="shared" ref="E21" si="6">SUM(E19:E20)</f>
        <v>182</v>
      </c>
      <c r="G21" s="8" t="s">
        <v>4</v>
      </c>
      <c r="H21">
        <f>SUM(H19:H20)</f>
        <v>24</v>
      </c>
      <c r="I21">
        <f t="shared" ref="I21:J21" si="7">SUM(I19:I20)</f>
        <v>158</v>
      </c>
      <c r="J21">
        <f t="shared" si="7"/>
        <v>182</v>
      </c>
    </row>
    <row r="25" spans="2:10" x14ac:dyDescent="0.25">
      <c r="C25" s="8" t="s">
        <v>0</v>
      </c>
      <c r="D25" s="8" t="s">
        <v>1</v>
      </c>
      <c r="E25" s="8" t="s">
        <v>2</v>
      </c>
      <c r="F25" s="8" t="s">
        <v>3</v>
      </c>
    </row>
    <row r="26" spans="2:10" x14ac:dyDescent="0.25">
      <c r="B26" t="s">
        <v>5</v>
      </c>
      <c r="C26">
        <f>C13/(C13+C14)</f>
        <v>1</v>
      </c>
      <c r="D26">
        <f>C19/(C19+C20)</f>
        <v>0.875</v>
      </c>
      <c r="E26">
        <f>H13/(H13+H14)</f>
        <v>0.45454545454545453</v>
      </c>
      <c r="F26">
        <f>H19/(H19+H20)</f>
        <v>1</v>
      </c>
    </row>
    <row r="27" spans="2:10" x14ac:dyDescent="0.25">
      <c r="B27" t="s">
        <v>10</v>
      </c>
      <c r="C27">
        <f>C13/(C13+D13)</f>
        <v>0.87142857142857144</v>
      </c>
      <c r="D27">
        <f>C19/(C19+D19)</f>
        <v>0.76712328767123283</v>
      </c>
      <c r="E27">
        <f>H13/(H13+I13)</f>
        <v>1</v>
      </c>
      <c r="F27">
        <f>H19/(H19+I19)</f>
        <v>1</v>
      </c>
    </row>
    <row r="28" spans="2:10" x14ac:dyDescent="0.25">
      <c r="B28" t="s">
        <v>21</v>
      </c>
      <c r="C28">
        <f>D14/(D14+C14)</f>
        <v>1</v>
      </c>
      <c r="D28">
        <f>D20/(D20+C20)</f>
        <v>0.92660550458715596</v>
      </c>
      <c r="E28">
        <f>I14/(I14+H14)</f>
        <v>0.89221556886227549</v>
      </c>
      <c r="F28">
        <f>I20/(I20+H20)</f>
        <v>1</v>
      </c>
    </row>
    <row r="29" spans="2:10" x14ac:dyDescent="0.25">
      <c r="B29" t="s">
        <v>22</v>
      </c>
      <c r="C29">
        <f>(2*C27*C26)/(C26+C27)</f>
        <v>0.93129770992366412</v>
      </c>
      <c r="D29">
        <f t="shared" ref="D29:F29" si="8">(2*D27*D26)/(D26+D27)</f>
        <v>0.81751824817518248</v>
      </c>
      <c r="E29">
        <f t="shared" si="8"/>
        <v>0.625</v>
      </c>
      <c r="F29">
        <f t="shared" si="8"/>
        <v>1</v>
      </c>
    </row>
    <row r="32" spans="2:10" x14ac:dyDescent="0.25">
      <c r="B32" t="s">
        <v>13</v>
      </c>
      <c r="C32">
        <f>1-C33</f>
        <v>0.1428571428571429</v>
      </c>
    </row>
    <row r="33" spans="2:3" x14ac:dyDescent="0.25">
      <c r="B33" t="s">
        <v>14</v>
      </c>
      <c r="C33">
        <f>(C5+D6+E7+F8)/G9</f>
        <v>0.8571428571428571</v>
      </c>
    </row>
    <row r="34" spans="2:3" x14ac:dyDescent="0.25">
      <c r="B34" t="s">
        <v>24</v>
      </c>
      <c r="C34">
        <f>(C9/G9*G5/G9)+(D9/G9*G6/G9)+(E9/G9*G7/G9)+(F9/G9*G8/G9)</f>
        <v>0.30228837096968963</v>
      </c>
    </row>
    <row r="35" spans="2:3" x14ac:dyDescent="0.25">
      <c r="B35" t="s">
        <v>23</v>
      </c>
      <c r="C35">
        <f>(C33-C34)/(1-C34)</f>
        <v>0.7952490156202674</v>
      </c>
    </row>
  </sheetData>
  <mergeCells count="1">
    <mergeCell ref="C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EBFA-150C-4629-941D-F882871943AE}">
  <dimension ref="B4:G18"/>
  <sheetViews>
    <sheetView workbookViewId="0">
      <selection activeCell="H17" sqref="H17"/>
    </sheetView>
  </sheetViews>
  <sheetFormatPr baseColWidth="10" defaultRowHeight="15" x14ac:dyDescent="0.25"/>
  <sheetData>
    <row r="4" spans="2:7" x14ac:dyDescent="0.25">
      <c r="C4" s="9" t="s">
        <v>19</v>
      </c>
      <c r="D4" s="9"/>
      <c r="E4" s="9"/>
      <c r="F4" s="9"/>
      <c r="G4" s="9"/>
    </row>
    <row r="5" spans="2:7" x14ac:dyDescent="0.25">
      <c r="B5" s="7" t="s">
        <v>20</v>
      </c>
      <c r="C5" s="6" t="s">
        <v>0</v>
      </c>
      <c r="D5" s="5" t="s">
        <v>1</v>
      </c>
      <c r="E5" s="5" t="s">
        <v>2</v>
      </c>
      <c r="F5" s="5" t="s">
        <v>3</v>
      </c>
      <c r="G5" s="5" t="s">
        <v>4</v>
      </c>
    </row>
    <row r="6" spans="2:7" x14ac:dyDescent="0.25">
      <c r="B6" s="5" t="s">
        <v>0</v>
      </c>
      <c r="C6" s="2">
        <v>61</v>
      </c>
      <c r="D6" s="2">
        <v>8</v>
      </c>
      <c r="E6" s="2">
        <v>1</v>
      </c>
      <c r="F6" s="2">
        <v>0</v>
      </c>
      <c r="G6" s="2">
        <f>SUM(C6:F6)</f>
        <v>70</v>
      </c>
    </row>
    <row r="7" spans="2:7" x14ac:dyDescent="0.25">
      <c r="B7" s="5" t="s">
        <v>1</v>
      </c>
      <c r="C7" s="2">
        <v>0</v>
      </c>
      <c r="D7" s="2">
        <v>56</v>
      </c>
      <c r="E7" s="2">
        <v>17</v>
      </c>
      <c r="F7" s="2">
        <v>0</v>
      </c>
      <c r="G7" s="2">
        <f t="shared" ref="G7:G9" si="0">SUM(C7:F7)</f>
        <v>73</v>
      </c>
    </row>
    <row r="8" spans="2:7" x14ac:dyDescent="0.25">
      <c r="B8" s="5" t="s">
        <v>2</v>
      </c>
      <c r="C8" s="2">
        <v>0</v>
      </c>
      <c r="D8" s="2">
        <v>0</v>
      </c>
      <c r="E8" s="2">
        <v>15</v>
      </c>
      <c r="F8" s="2">
        <v>0</v>
      </c>
      <c r="G8" s="2">
        <f t="shared" si="0"/>
        <v>15</v>
      </c>
    </row>
    <row r="9" spans="2:7" x14ac:dyDescent="0.25">
      <c r="B9" s="5" t="s">
        <v>3</v>
      </c>
      <c r="C9" s="2">
        <v>0</v>
      </c>
      <c r="D9" s="2">
        <v>0</v>
      </c>
      <c r="E9" s="2">
        <v>0</v>
      </c>
      <c r="F9" s="2">
        <v>24</v>
      </c>
      <c r="G9" s="2">
        <f t="shared" si="0"/>
        <v>24</v>
      </c>
    </row>
    <row r="10" spans="2:7" x14ac:dyDescent="0.25">
      <c r="B10" s="5" t="s">
        <v>4</v>
      </c>
      <c r="C10" s="2">
        <f>SUM(C6:C9)</f>
        <v>61</v>
      </c>
      <c r="D10" s="2">
        <f t="shared" ref="D10:G10" si="1">SUM(D6:D9)</f>
        <v>64</v>
      </c>
      <c r="E10" s="2">
        <f t="shared" si="1"/>
        <v>33</v>
      </c>
      <c r="F10" s="2">
        <f t="shared" si="1"/>
        <v>24</v>
      </c>
      <c r="G10" s="2">
        <f t="shared" si="1"/>
        <v>182</v>
      </c>
    </row>
    <row r="14" spans="2:7" x14ac:dyDescent="0.25">
      <c r="C14" s="8" t="s">
        <v>0</v>
      </c>
      <c r="D14" s="8" t="s">
        <v>1</v>
      </c>
      <c r="E14" s="8" t="s">
        <v>2</v>
      </c>
      <c r="F14" s="8" t="s">
        <v>3</v>
      </c>
    </row>
    <row r="15" spans="2:7" x14ac:dyDescent="0.25">
      <c r="B15" t="s">
        <v>5</v>
      </c>
      <c r="C15">
        <f>C6/(C6+SUM(C7:C9))</f>
        <v>1</v>
      </c>
      <c r="D15">
        <f>D7/(D7+SUM(D6,D8,D9))</f>
        <v>0.875</v>
      </c>
      <c r="E15">
        <f>E8/(E8+SUM(E6,E7,E9))</f>
        <v>0.45454545454545453</v>
      </c>
      <c r="F15">
        <f>F9/(F9+SUM(F6:F8))</f>
        <v>1</v>
      </c>
    </row>
    <row r="16" spans="2:7" x14ac:dyDescent="0.25">
      <c r="B16" t="s">
        <v>10</v>
      </c>
      <c r="C16">
        <f>C6/(C6+SUM(D6:F6))</f>
        <v>0.87142857142857144</v>
      </c>
      <c r="D16">
        <f>D7/(D7+SUM(C7,E7,F7))</f>
        <v>0.76712328767123283</v>
      </c>
      <c r="E16">
        <f>E8/(E8+SUM(F8,D8,C8))</f>
        <v>1</v>
      </c>
      <c r="F16">
        <f>F9/(F9+SUM(C9:E9))</f>
        <v>1</v>
      </c>
    </row>
    <row r="17" spans="2:6" x14ac:dyDescent="0.25">
      <c r="B17" t="s">
        <v>21</v>
      </c>
      <c r="C17">
        <f>SUM(D7:F9)/((SUM(D7:F9))+SUM(C7:C9))</f>
        <v>1</v>
      </c>
      <c r="D17">
        <f>SUM(C6,E6,F6,C8,C9,E8,E9,F8,F9)/((SUM(C6,C8,C9,E6:F6,E8:F9))+SUM(D8:D9,D6))</f>
        <v>0.92660550458715596</v>
      </c>
      <c r="E17">
        <f>SUM(C6:D7,C9:D9,F6:F7,F9)/((SUM(C6:D7,C9:D9,F6:F7,F9)+SUM(E6:E7,E9)))</f>
        <v>0.89221556886227549</v>
      </c>
      <c r="F17">
        <f>SUM(C6:E8)/((SUM(C6:E8))+SUM(F6:F8))</f>
        <v>1</v>
      </c>
    </row>
    <row r="18" spans="2:6" x14ac:dyDescent="0.25">
      <c r="B18" t="s">
        <v>22</v>
      </c>
      <c r="C18">
        <f>(2*C15*C16)/(C15+C16)</f>
        <v>0.93129770992366412</v>
      </c>
      <c r="D18">
        <f t="shared" ref="D18:F18" si="2">(2*D15*D16)/(D15+D16)</f>
        <v>0.81751824817518248</v>
      </c>
      <c r="E18">
        <f t="shared" si="2"/>
        <v>0.625</v>
      </c>
      <c r="F18">
        <f t="shared" si="2"/>
        <v>1</v>
      </c>
    </row>
  </sheetData>
  <mergeCells count="1"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Taller Calculos de Metricas2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2020-02-18T00:03:49Z</dcterms:created>
  <dcterms:modified xsi:type="dcterms:W3CDTF">2020-02-25T04:11:08Z</dcterms:modified>
</cp:coreProperties>
</file>